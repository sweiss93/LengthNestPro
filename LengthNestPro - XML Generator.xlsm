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metzger\Desktop\"/>
    </mc:Choice>
  </mc:AlternateContent>
  <xr:revisionPtr revIDLastSave="0" documentId="13_ncr:1_{61720D41-CFE0-43C0-B0E4-A3F031E320D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3" r:id="rId1"/>
  </sheets>
  <definedNames>
    <definedName name="nestingSettings">Sheet1!$P$4</definedName>
    <definedName name="PartData">Sheet1!$O$3:$O$29</definedName>
    <definedName name="Project">Sheet1!$L$4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3" l="1"/>
  <c r="F28" i="3"/>
  <c r="F27" i="3"/>
  <c r="F26" i="3"/>
  <c r="F25" i="3"/>
  <c r="F24" i="3"/>
  <c r="F23" i="3"/>
  <c r="F22" i="3"/>
  <c r="F7" i="3"/>
  <c r="F6" i="3"/>
  <c r="F5" i="3"/>
  <c r="F4" i="3"/>
  <c r="A4" i="3" l="1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P4" i="3"/>
  <c r="H28" i="3" l="1"/>
  <c r="O28" i="3" s="1"/>
  <c r="H27" i="3"/>
  <c r="O27" i="3" s="1"/>
  <c r="H26" i="3"/>
  <c r="O26" i="3" s="1"/>
  <c r="H25" i="3"/>
  <c r="O25" i="3" s="1"/>
  <c r="H24" i="3"/>
  <c r="O24" i="3" s="1"/>
  <c r="H23" i="3"/>
  <c r="O23" i="3" s="1"/>
  <c r="H22" i="3"/>
  <c r="O22" i="3" s="1"/>
  <c r="E21" i="3"/>
  <c r="F21" i="3" s="1"/>
  <c r="E20" i="3"/>
  <c r="F20" i="3" s="1"/>
  <c r="E19" i="3"/>
  <c r="F19" i="3" s="1"/>
  <c r="E18" i="3"/>
  <c r="F18" i="3" s="1"/>
  <c r="E17" i="3"/>
  <c r="F17" i="3" s="1"/>
  <c r="E16" i="3"/>
  <c r="F16" i="3" s="1"/>
  <c r="E15" i="3"/>
  <c r="F15" i="3" s="1"/>
  <c r="E14" i="3"/>
  <c r="F14" i="3" s="1"/>
  <c r="E13" i="3"/>
  <c r="F13" i="3" s="1"/>
  <c r="E12" i="3"/>
  <c r="F12" i="3" s="1"/>
  <c r="E11" i="3"/>
  <c r="F11" i="3" s="1"/>
  <c r="E10" i="3"/>
  <c r="F10" i="3" s="1"/>
  <c r="E9" i="3"/>
  <c r="F9" i="3" s="1"/>
  <c r="E8" i="3"/>
  <c r="F8" i="3" s="1"/>
  <c r="H7" i="3"/>
  <c r="O7" i="3" s="1"/>
  <c r="H6" i="3"/>
  <c r="O6" i="3" s="1"/>
  <c r="H5" i="3"/>
  <c r="O5" i="3" s="1"/>
  <c r="B1" i="3"/>
  <c r="H8" i="3" l="1"/>
  <c r="O8" i="3" s="1"/>
  <c r="H12" i="3"/>
  <c r="O12" i="3" s="1"/>
  <c r="H16" i="3"/>
  <c r="O16" i="3" s="1"/>
  <c r="H20" i="3"/>
  <c r="O20" i="3" s="1"/>
  <c r="H9" i="3"/>
  <c r="O9" i="3" s="1"/>
  <c r="H13" i="3"/>
  <c r="O13" i="3" s="1"/>
  <c r="H17" i="3"/>
  <c r="O17" i="3" s="1"/>
  <c r="H21" i="3"/>
  <c r="O21" i="3" s="1"/>
  <c r="H10" i="3"/>
  <c r="O10" i="3" s="1"/>
  <c r="H14" i="3"/>
  <c r="O14" i="3" s="1"/>
  <c r="H18" i="3"/>
  <c r="O18" i="3" s="1"/>
  <c r="H11" i="3"/>
  <c r="O11" i="3" s="1"/>
  <c r="H15" i="3"/>
  <c r="O15" i="3" s="1"/>
  <c r="H19" i="3"/>
  <c r="O19" i="3" s="1"/>
  <c r="H4" i="3" l="1"/>
  <c r="O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<sst xmlns="http://schemas.openxmlformats.org/spreadsheetml/2006/main" count="90" uniqueCount="45">
  <si>
    <t>Quantity</t>
  </si>
  <si>
    <t>Standard Data</t>
  </si>
  <si>
    <t>Stock Length</t>
  </si>
  <si>
    <t>Total</t>
  </si>
  <si>
    <t>Description</t>
  </si>
  <si>
    <t>Marker #</t>
  </si>
  <si>
    <t>Project</t>
  </si>
  <si>
    <t>503-17</t>
  </si>
  <si>
    <t>503-18</t>
  </si>
  <si>
    <t>C-CHANNEL; C 4 x 7.25, A36</t>
  </si>
  <si>
    <t>Kerf (Spacing)</t>
  </si>
  <si>
    <t>Left Waste</t>
  </si>
  <si>
    <t>Right Waste</t>
  </si>
  <si>
    <t>Max parts per nest (goal)</t>
  </si>
  <si>
    <t>Max containers (goal)</t>
  </si>
  <si>
    <t>Part Data</t>
  </si>
  <si>
    <t>Nesting Settings</t>
  </si>
  <si>
    <t>.</t>
  </si>
  <si>
    <t>https://github.com/sweiss93/LengthNestPro/</t>
  </si>
  <si>
    <t>Check</t>
  </si>
  <si>
    <t>Example</t>
  </si>
  <si>
    <t>Length (Decimal)</t>
  </si>
  <si>
    <t>Length Output</t>
  </si>
  <si>
    <t>103-3</t>
  </si>
  <si>
    <t>103-4</t>
  </si>
  <si>
    <t>103-5</t>
  </si>
  <si>
    <t>103-6</t>
  </si>
  <si>
    <t>103-7</t>
  </si>
  <si>
    <t>103-8</t>
  </si>
  <si>
    <t>103-9</t>
  </si>
  <si>
    <t>103-10</t>
  </si>
  <si>
    <t>103-11</t>
  </si>
  <si>
    <t>103-12</t>
  </si>
  <si>
    <t>103-13</t>
  </si>
  <si>
    <t>103-14</t>
  </si>
  <si>
    <t>103-15</t>
  </si>
  <si>
    <t>103-16</t>
  </si>
  <si>
    <t>103-19</t>
  </si>
  <si>
    <t>103-20</t>
  </si>
  <si>
    <t>103-21</t>
  </si>
  <si>
    <t>103-22</t>
  </si>
  <si>
    <t>103-1</t>
  </si>
  <si>
    <t>103-2</t>
  </si>
  <si>
    <t>Take a screenshot and paste it over this text to print the LengthNestPro graph and Cut List on the same page.</t>
  </si>
  <si>
    <t>Select the cells behind the Cut List and LengthNestPro graph, then use "Print Selection" in the print settings.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</si>
</sst>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4" formatCode="_(* #,##0.000_);_(* \(#,##0.00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2" borderId="1" xfId="0" applyFill="1" applyBorder="1"/>
    <xf numFmtId="0" fontId="0" fillId="3" borderId="0" xfId="0" applyFill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/>
    <xf numFmtId="43" fontId="0" fillId="0" borderId="0" xfId="0" applyNumberForma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1" fontId="0" fillId="2" borderId="1" xfId="0" applyNumberFormat="1" applyFill="1" applyBorder="1"/>
    <xf numFmtId="0" fontId="3" fillId="0" borderId="0" xfId="1"/>
    <xf numFmtId="0" fontId="0" fillId="0" borderId="0" xfId="0" applyAlignment="1">
      <alignment horizontal="center"/>
    </xf>
    <xf numFmtId="164" fontId="0" fillId="0" borderId="1" xfId="0" applyNumberFormat="1" applyFill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10</xdr:row>
      <xdr:rowOff>28574</xdr:rowOff>
    </xdr:from>
    <xdr:to>
      <xdr:col>13</xdr:col>
      <xdr:colOff>9526</xdr:colOff>
      <xdr:row>27</xdr:row>
      <xdr:rowOff>190499</xdr:rowOff>
    </xdr:to>
    <xdr:sp macro="[0]!ExportToXML" textlink="">
      <xdr:nvSpPr>
        <xdr:cNvPr id="3" name="Rectangle 2">
          <a:extLst>
            <a:ext uri="{FF2B5EF4-FFF2-40B4-BE49-F238E27FC236}">
              <a16:creationId xmlns:a16="http://schemas.microsoft.com/office/drawing/2014/main" id="{12F0BBD4-73C3-8CD7-6F58-56AF57F3C2CE}"/>
            </a:ext>
          </a:extLst>
        </xdr:cNvPr>
        <xdr:cNvSpPr/>
      </xdr:nvSpPr>
      <xdr:spPr>
        <a:xfrm>
          <a:off x="11525250" y="2038349"/>
          <a:ext cx="2886076" cy="3400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4000" b="1"/>
            <a:t>Export Data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weiss93/LengthNestPr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DFF83-1177-4135-B870-94FC4AE8B3F3}">
  <sheetPr codeName="Sheet3">
    <pageSetUpPr fitToPage="1"/>
  </sheetPr>
  <dimension ref="A1:Q42"/>
  <sheetViews>
    <sheetView tabSelected="1" workbookViewId="0"/>
  </sheetViews>
  <sheetFormatPr defaultRowHeight="15" x14ac:dyDescent="0.25"/>
  <cols>
    <col min="1" max="1" width="4.42578125" customWidth="1"/>
    <col min="2" max="2" width="11.42578125" customWidth="1"/>
    <col min="3" max="3" width="8.7109375" bestFit="1" customWidth="1"/>
    <col min="4" max="4" width="25" bestFit="1" customWidth="1"/>
    <col min="5" max="5" width="29.85546875" bestFit="1" customWidth="1"/>
    <col min="6" max="6" width="13.7109375" customWidth="1"/>
    <col min="7" max="7" width="63.42578125" customWidth="1"/>
    <col min="8" max="8" width="8" bestFit="1" customWidth="1"/>
    <col min="9" max="9" width="8.140625" customWidth="1"/>
    <col min="10" max="10" width="13.42578125" bestFit="1" customWidth="1"/>
    <col min="11" max="11" width="10.7109375" customWidth="1"/>
    <col min="12" max="13" width="9.5703125" customWidth="1"/>
    <col min="14" max="14" width="8.140625" customWidth="1"/>
    <col min="15" max="15" width="9.85546875" customWidth="1"/>
    <col min="16" max="16" width="15.5703125" customWidth="1"/>
  </cols>
  <sheetData>
    <row r="1" spans="1:17" ht="23.25" x14ac:dyDescent="0.35">
      <c r="B1" s="15" t="str">
        <f>L4 &amp; " Cut List"</f>
        <v>Example Cut List</v>
      </c>
      <c r="C1" s="15"/>
      <c r="D1" s="15"/>
      <c r="E1" s="15"/>
      <c r="F1" s="15"/>
      <c r="G1" s="7"/>
      <c r="H1" s="5"/>
      <c r="I1" s="5"/>
    </row>
    <row r="2" spans="1:17" x14ac:dyDescent="0.25">
      <c r="H2" s="8" t="s">
        <v>19</v>
      </c>
      <c r="O2" s="3" t="s">
        <v>15</v>
      </c>
      <c r="P2" s="3" t="s">
        <v>16</v>
      </c>
    </row>
    <row r="3" spans="1:17" x14ac:dyDescent="0.25">
      <c r="B3" s="4" t="s">
        <v>5</v>
      </c>
      <c r="C3" s="4" t="s">
        <v>0</v>
      </c>
      <c r="D3" s="4" t="s">
        <v>4</v>
      </c>
      <c r="E3" s="4" t="s">
        <v>21</v>
      </c>
      <c r="F3" s="4" t="s">
        <v>22</v>
      </c>
      <c r="G3" s="8"/>
      <c r="H3" s="4" t="s">
        <v>3</v>
      </c>
      <c r="I3" s="6"/>
      <c r="J3" s="14" t="s">
        <v>1</v>
      </c>
      <c r="K3" s="14"/>
      <c r="L3" s="14"/>
      <c r="O3" s="2"/>
      <c r="P3" s="2"/>
    </row>
    <row r="4" spans="1:17" x14ac:dyDescent="0.25">
      <c r="A4" s="11" t="str" cm="1">
        <f t="array" ref="A4">INDEX({"A","B","C","D","E","F","G","H","J","K","L","M","N","O","P","Q","R","S","T","U","V","W","X","Y","Z","AA","BB","CC","DD","EE","FF","GG","HH","JJ","KK","LL","OO","PP","QQ","RR","SS","TT","UU","XX"},ROW()-ROW($A$3))</f>
        <v>A</v>
      </c>
      <c r="B4" s="1" t="s">
        <v>41</v>
      </c>
      <c r="C4" s="9">
        <v>4</v>
      </c>
      <c r="D4" s="1" t="s">
        <v>9</v>
      </c>
      <c r="E4" s="1">
        <v>3.4221870000000001</v>
      </c>
      <c r="F4" s="12">
        <f>IFERROR(ROUND(IF(IFERROR(FIND("'",E4),0)+IFERROR(FIND("""",E4),0)=0,E4,0),4),0)</f>
        <v>3.4222000000000001</v>
      </c>
      <c r="G4" s="12"/>
      <c r="H4" s="13">
        <f t="shared" ref="H4:H28" si="0">IFERROR(F4*C4,0)</f>
        <v>13.688800000000001</v>
      </c>
      <c r="I4" s="6"/>
      <c r="J4" t="s">
        <v>6</v>
      </c>
      <c r="L4" s="1" t="s">
        <v>20</v>
      </c>
      <c r="O4" s="2" t="str">
        <f t="shared" ref="O4:O28" si="1">IF(H4=0,"","&lt;part&gt;&lt;qty&gt;" &amp; C4 &amp; "&lt;/qty&gt;&lt;length&gt;" &amp; F4 &amp; "&lt;/length&gt;&lt;name&gt;" &amp; IF(F4&lt;12,A4,B4) &amp; "&lt;/name&gt;&lt;/part&gt;")</f>
        <v>&lt;part&gt;&lt;qty&gt;4&lt;/qty&gt;&lt;length&gt;3.4222&lt;/length&gt;&lt;name&gt;A&lt;/name&gt;&lt;/part&gt;</v>
      </c>
      <c r="P4" s="2" t="str">
        <f>"&lt;stockLength&gt;"&amp;L5&amp;"&lt;/stockLength&gt;&lt;leftWaste&gt;"&amp;L6&amp;"&lt;/leftWaste&gt;&lt;rightWaste&gt;"&amp;L7&amp;"&lt;/rightWaste&gt;&lt;spacing&gt;"&amp;L8&amp;"&lt;/spacing&gt;&lt;maxPartsPerNest&gt;"&amp;L9&amp;"&lt;/maxPartsPerNest&gt;&lt;maxContainers&gt;"&amp;L10&amp;"&lt;/maxContainers&gt;"</f>
        <v>&lt;stockLength&gt;240&lt;/stockLength&gt;&lt;leftWaste&gt;0&lt;/leftWaste&gt;&lt;rightWaste&gt;0&lt;/rightWaste&gt;&lt;spacing&gt;0.125&lt;/spacing&gt;&lt;maxPartsPerNest&gt;4&lt;/maxPartsPerNest&gt;&lt;maxContainers&gt;4&lt;/maxContainers&gt;</v>
      </c>
      <c r="Q4" t="s">
        <v>17</v>
      </c>
    </row>
    <row r="5" spans="1:17" x14ac:dyDescent="0.25">
      <c r="A5" s="11" t="str" cm="1">
        <f t="array" ref="A5">INDEX({"A","B","C","D","E","F","G","H","J","K","L","M","N","O","P","Q","R","S","T","U","V","W","X","Y","Z","AA","BB","CC","DD","EE","FF","GG","HH","JJ","KK","LL","OO","PP","QQ","RR","SS","TT","UU","XX"},ROW()-ROW($A$3))</f>
        <v>B</v>
      </c>
      <c r="B5" s="1" t="s">
        <v>42</v>
      </c>
      <c r="C5" s="9">
        <v>1</v>
      </c>
      <c r="D5" s="1" t="s">
        <v>9</v>
      </c>
      <c r="E5" s="1">
        <v>7.8333332999999996</v>
      </c>
      <c r="F5" s="12">
        <f t="shared" ref="F5:F28" si="2">IFERROR(ROUND(IF(IFERROR(FIND("'",E5),0)+IFERROR(FIND("""",E5),0)=0,E5,0),4),0)</f>
        <v>7.8333000000000004</v>
      </c>
      <c r="G5" s="12"/>
      <c r="H5" s="13">
        <f t="shared" si="0"/>
        <v>7.8333000000000004</v>
      </c>
      <c r="I5" s="6"/>
      <c r="J5" t="s">
        <v>2</v>
      </c>
      <c r="L5" s="1">
        <v>240</v>
      </c>
      <c r="O5" s="2" t="str">
        <f t="shared" si="1"/>
        <v>&lt;part&gt;&lt;qty&gt;1&lt;/qty&gt;&lt;length&gt;7.8333&lt;/length&gt;&lt;name&gt;B&lt;/name&gt;&lt;/part&gt;</v>
      </c>
      <c r="P5" s="2"/>
      <c r="Q5" t="s">
        <v>17</v>
      </c>
    </row>
    <row r="6" spans="1:17" x14ac:dyDescent="0.25">
      <c r="A6" s="11" t="str" cm="1">
        <f t="array" ref="A6">INDEX({"A","B","C","D","E","F","G","H","J","K","L","M","N","O","P","Q","R","S","T","U","V","W","X","Y","Z","AA","BB","CC","DD","EE","FF","GG","HH","JJ","KK","LL","OO","PP","QQ","RR","SS","TT","UU","XX"},ROW()-ROW($A$3))</f>
        <v>C</v>
      </c>
      <c r="B6" s="1" t="s">
        <v>23</v>
      </c>
      <c r="C6" s="9">
        <v>1</v>
      </c>
      <c r="D6" s="1" t="s">
        <v>9</v>
      </c>
      <c r="E6" s="1">
        <v>7</v>
      </c>
      <c r="F6" s="12">
        <f t="shared" si="2"/>
        <v>7</v>
      </c>
      <c r="G6" s="12"/>
      <c r="H6" s="13">
        <f t="shared" si="0"/>
        <v>7</v>
      </c>
      <c r="I6" s="6"/>
      <c r="J6" t="s">
        <v>11</v>
      </c>
      <c r="L6" s="1">
        <v>0</v>
      </c>
      <c r="O6" s="2" t="str">
        <f t="shared" si="1"/>
        <v>&lt;part&gt;&lt;qty&gt;1&lt;/qty&gt;&lt;length&gt;7&lt;/length&gt;&lt;name&gt;C&lt;/name&gt;&lt;/part&gt;</v>
      </c>
      <c r="P6" s="2"/>
      <c r="Q6" t="s">
        <v>17</v>
      </c>
    </row>
    <row r="7" spans="1:17" x14ac:dyDescent="0.25">
      <c r="A7" s="11" t="str" cm="1">
        <f t="array" ref="A7">INDEX({"A","B","C","D","E","F","G","H","J","K","L","M","N","O","P","Q","R","S","T","U","V","W","X","Y","Z","AA","BB","CC","DD","EE","FF","GG","HH","JJ","KK","LL","OO","PP","QQ","RR","SS","TT","UU","XX"},ROW()-ROW($A$3))</f>
        <v>D</v>
      </c>
      <c r="B7" s="1" t="s">
        <v>24</v>
      </c>
      <c r="C7" s="9">
        <v>1</v>
      </c>
      <c r="D7" s="1" t="s">
        <v>9</v>
      </c>
      <c r="E7" s="1">
        <v>12</v>
      </c>
      <c r="F7" s="12">
        <f t="shared" si="2"/>
        <v>12</v>
      </c>
      <c r="G7" s="12"/>
      <c r="H7" s="13">
        <f t="shared" si="0"/>
        <v>12</v>
      </c>
      <c r="I7" s="6"/>
      <c r="J7" t="s">
        <v>12</v>
      </c>
      <c r="L7" s="1">
        <v>0</v>
      </c>
      <c r="O7" s="2" t="str">
        <f t="shared" si="1"/>
        <v>&lt;part&gt;&lt;qty&gt;1&lt;/qty&gt;&lt;length&gt;12&lt;/length&gt;&lt;name&gt;103-4&lt;/name&gt;&lt;/part&gt;</v>
      </c>
      <c r="P7" s="2"/>
      <c r="Q7" t="s">
        <v>17</v>
      </c>
    </row>
    <row r="8" spans="1:17" x14ac:dyDescent="0.25">
      <c r="A8" s="11" t="str" cm="1">
        <f t="array" ref="A8">INDEX({"A","B","C","D","E","F","G","H","J","K","L","M","N","O","P","Q","R","S","T","U","V","W","X","Y","Z","AA","BB","CC","DD","EE","FF","GG","HH","JJ","KK","LL","OO","PP","QQ","RR","SS","TT","UU","XX"},ROW()-ROW($A$3))</f>
        <v>E</v>
      </c>
      <c r="B8" s="1" t="s">
        <v>25</v>
      </c>
      <c r="C8" s="9">
        <v>1</v>
      </c>
      <c r="D8" s="1" t="s">
        <v>9</v>
      </c>
      <c r="E8" s="1">
        <f>2*12+9</f>
        <v>33</v>
      </c>
      <c r="F8" s="12">
        <f t="shared" si="2"/>
        <v>33</v>
      </c>
      <c r="G8" s="12"/>
      <c r="H8" s="13">
        <f t="shared" si="0"/>
        <v>33</v>
      </c>
      <c r="I8" s="6"/>
      <c r="J8" t="s">
        <v>10</v>
      </c>
      <c r="L8" s="1">
        <v>0.125</v>
      </c>
      <c r="O8" s="2" t="str">
        <f t="shared" si="1"/>
        <v>&lt;part&gt;&lt;qty&gt;1&lt;/qty&gt;&lt;length&gt;33&lt;/length&gt;&lt;name&gt;103-5&lt;/name&gt;&lt;/part&gt;</v>
      </c>
      <c r="P8" s="2"/>
      <c r="Q8" t="s">
        <v>17</v>
      </c>
    </row>
    <row r="9" spans="1:17" x14ac:dyDescent="0.25">
      <c r="A9" s="11" t="str" cm="1">
        <f t="array" ref="A9">INDEX({"A","B","C","D","E","F","G","H","J","K","L","M","N","O","P","Q","R","S","T","U","V","W","X","Y","Z","AA","BB","CC","DD","EE","FF","GG","HH","JJ","KK","LL","OO","PP","QQ","RR","SS","TT","UU","XX"},ROW()-ROW($A$3))</f>
        <v>F</v>
      </c>
      <c r="B9" s="1" t="s">
        <v>26</v>
      </c>
      <c r="C9" s="9">
        <v>2</v>
      </c>
      <c r="D9" s="1" t="s">
        <v>9</v>
      </c>
      <c r="E9" s="1">
        <f>12*6+11</f>
        <v>83</v>
      </c>
      <c r="F9" s="12">
        <f t="shared" si="2"/>
        <v>83</v>
      </c>
      <c r="G9" s="12"/>
      <c r="H9" s="13">
        <f t="shared" si="0"/>
        <v>166</v>
      </c>
      <c r="I9" s="6"/>
      <c r="J9" t="s">
        <v>13</v>
      </c>
      <c r="L9" s="1">
        <v>4</v>
      </c>
      <c r="O9" s="2" t="str">
        <f t="shared" si="1"/>
        <v>&lt;part&gt;&lt;qty&gt;2&lt;/qty&gt;&lt;length&gt;83&lt;/length&gt;&lt;name&gt;103-6&lt;/name&gt;&lt;/part&gt;</v>
      </c>
      <c r="P9" s="2"/>
      <c r="Q9" t="s">
        <v>17</v>
      </c>
    </row>
    <row r="10" spans="1:17" x14ac:dyDescent="0.25">
      <c r="A10" s="11" t="str" cm="1">
        <f t="array" ref="A10">INDEX({"A","B","C","D","E","F","G","H","J","K","L","M","N","O","P","Q","R","S","T","U","V","W","X","Y","Z","AA","BB","CC","DD","EE","FF","GG","HH","JJ","KK","LL","OO","PP","QQ","RR","SS","TT","UU","XX"},ROW()-ROW($A$3))</f>
        <v>G</v>
      </c>
      <c r="B10" s="1" t="s">
        <v>27</v>
      </c>
      <c r="C10" s="9">
        <v>2</v>
      </c>
      <c r="D10" s="1" t="s">
        <v>9</v>
      </c>
      <c r="E10" s="1">
        <f>12*2+11</f>
        <v>35</v>
      </c>
      <c r="F10" s="12">
        <f t="shared" si="2"/>
        <v>35</v>
      </c>
      <c r="G10" s="12"/>
      <c r="H10" s="13">
        <f t="shared" si="0"/>
        <v>70</v>
      </c>
      <c r="I10" s="6"/>
      <c r="J10" t="s">
        <v>14</v>
      </c>
      <c r="L10" s="1">
        <v>4</v>
      </c>
      <c r="O10" s="2" t="str">
        <f t="shared" si="1"/>
        <v>&lt;part&gt;&lt;qty&gt;2&lt;/qty&gt;&lt;length&gt;35&lt;/length&gt;&lt;name&gt;103-7&lt;/name&gt;&lt;/part&gt;</v>
      </c>
      <c r="P10" s="2"/>
      <c r="Q10" t="s">
        <v>17</v>
      </c>
    </row>
    <row r="11" spans="1:17" x14ac:dyDescent="0.25">
      <c r="A11" s="11" t="str" cm="1">
        <f t="array" ref="A11">INDEX({"A","B","C","D","E","F","G","H","J","K","L","M","N","O","P","Q","R","S","T","U","V","W","X","Y","Z","AA","BB","CC","DD","EE","FF","GG","HH","JJ","KK","LL","OO","PP","QQ","RR","SS","TT","UU","XX"},ROW()-ROW($A$3))</f>
        <v>H</v>
      </c>
      <c r="B11" s="1" t="s">
        <v>28</v>
      </c>
      <c r="C11" s="9">
        <v>8</v>
      </c>
      <c r="D11" s="1" t="s">
        <v>9</v>
      </c>
      <c r="E11" s="1">
        <f>12*1+2</f>
        <v>14</v>
      </c>
      <c r="F11" s="12">
        <f t="shared" si="2"/>
        <v>14</v>
      </c>
      <c r="G11" s="12"/>
      <c r="H11" s="13">
        <f t="shared" si="0"/>
        <v>112</v>
      </c>
      <c r="I11" s="6"/>
      <c r="O11" s="2" t="str">
        <f t="shared" si="1"/>
        <v>&lt;part&gt;&lt;qty&gt;8&lt;/qty&gt;&lt;length&gt;14&lt;/length&gt;&lt;name&gt;103-8&lt;/name&gt;&lt;/part&gt;</v>
      </c>
      <c r="P11" s="2"/>
      <c r="Q11" t="s">
        <v>17</v>
      </c>
    </row>
    <row r="12" spans="1:17" x14ac:dyDescent="0.25">
      <c r="A12" s="11" t="str" cm="1">
        <f t="array" ref="A12">INDEX({"A","B","C","D","E","F","G","H","J","K","L","M","N","O","P","Q","R","S","T","U","V","W","X","Y","Z","AA","BB","CC","DD","EE","FF","GG","HH","JJ","KK","LL","OO","PP","QQ","RR","SS","TT","UU","XX"},ROW()-ROW($A$3))</f>
        <v>J</v>
      </c>
      <c r="B12" s="1" t="s">
        <v>29</v>
      </c>
      <c r="C12" s="9">
        <v>8</v>
      </c>
      <c r="D12" s="1" t="s">
        <v>9</v>
      </c>
      <c r="E12" s="1">
        <f>12*1+4</f>
        <v>16</v>
      </c>
      <c r="F12" s="12">
        <f t="shared" si="2"/>
        <v>16</v>
      </c>
      <c r="G12" s="12"/>
      <c r="H12" s="13">
        <f t="shared" si="0"/>
        <v>128</v>
      </c>
      <c r="I12" s="6"/>
      <c r="O12" s="2" t="str">
        <f t="shared" si="1"/>
        <v>&lt;part&gt;&lt;qty&gt;8&lt;/qty&gt;&lt;length&gt;16&lt;/length&gt;&lt;name&gt;103-9&lt;/name&gt;&lt;/part&gt;</v>
      </c>
      <c r="P12" s="2"/>
      <c r="Q12" t="s">
        <v>17</v>
      </c>
    </row>
    <row r="13" spans="1:17" x14ac:dyDescent="0.25">
      <c r="A13" s="11" t="str" cm="1">
        <f t="array" ref="A13">INDEX({"A","B","C","D","E","F","G","H","J","K","L","M","N","O","P","Q","R","S","T","U","V","W","X","Y","Z","AA","BB","CC","DD","EE","FF","GG","HH","JJ","KK","LL","OO","PP","QQ","RR","SS","TT","UU","XX"},ROW()-ROW($A$3))</f>
        <v>K</v>
      </c>
      <c r="B13" s="1" t="s">
        <v>30</v>
      </c>
      <c r="C13" s="9">
        <v>4</v>
      </c>
      <c r="D13" s="1" t="s">
        <v>9</v>
      </c>
      <c r="E13" s="1">
        <f>12*1+7</f>
        <v>19</v>
      </c>
      <c r="F13" s="12">
        <f t="shared" si="2"/>
        <v>19</v>
      </c>
      <c r="G13" s="12"/>
      <c r="H13" s="13">
        <f t="shared" si="0"/>
        <v>76</v>
      </c>
      <c r="I13" s="6"/>
      <c r="O13" s="2" t="str">
        <f t="shared" si="1"/>
        <v>&lt;part&gt;&lt;qty&gt;4&lt;/qty&gt;&lt;length&gt;19&lt;/length&gt;&lt;name&gt;103-10&lt;/name&gt;&lt;/part&gt;</v>
      </c>
      <c r="P13" s="2"/>
      <c r="Q13" t="s">
        <v>17</v>
      </c>
    </row>
    <row r="14" spans="1:17" x14ac:dyDescent="0.25">
      <c r="A14" s="11" t="str" cm="1">
        <f t="array" ref="A14">INDEX({"A","B","C","D","E","F","G","H","J","K","L","M","N","O","P","Q","R","S","T","U","V","W","X","Y","Z","AA","BB","CC","DD","EE","FF","GG","HH","JJ","KK","LL","OO","PP","QQ","RR","SS","TT","UU","XX"},ROW()-ROW($A$3))</f>
        <v>L</v>
      </c>
      <c r="B14" s="1" t="s">
        <v>31</v>
      </c>
      <c r="C14" s="9">
        <v>4</v>
      </c>
      <c r="D14" s="1" t="s">
        <v>9</v>
      </c>
      <c r="E14" s="1">
        <f>12*1+7</f>
        <v>19</v>
      </c>
      <c r="F14" s="12">
        <f t="shared" si="2"/>
        <v>19</v>
      </c>
      <c r="G14" s="12"/>
      <c r="H14" s="13">
        <f t="shared" si="0"/>
        <v>76</v>
      </c>
      <c r="I14" s="6"/>
      <c r="O14" s="2" t="str">
        <f t="shared" si="1"/>
        <v>&lt;part&gt;&lt;qty&gt;4&lt;/qty&gt;&lt;length&gt;19&lt;/length&gt;&lt;name&gt;103-11&lt;/name&gt;&lt;/part&gt;</v>
      </c>
      <c r="P14" s="2"/>
      <c r="Q14" t="s">
        <v>17</v>
      </c>
    </row>
    <row r="15" spans="1:17" x14ac:dyDescent="0.25">
      <c r="A15" s="11" t="str" cm="1">
        <f t="array" ref="A15">INDEX({"A","B","C","D","E","F","G","H","J","K","L","M","N","O","P","Q","R","S","T","U","V","W","X","Y","Z","AA","BB","CC","DD","EE","FF","GG","HH","JJ","KK","LL","OO","PP","QQ","RR","SS","TT","UU","XX"},ROW()-ROW($A$3))</f>
        <v>M</v>
      </c>
      <c r="B15" s="1" t="s">
        <v>32</v>
      </c>
      <c r="C15" s="9">
        <v>4</v>
      </c>
      <c r="D15" s="1" t="s">
        <v>9</v>
      </c>
      <c r="E15" s="1">
        <f>12*0.5</f>
        <v>6</v>
      </c>
      <c r="F15" s="12">
        <f t="shared" si="2"/>
        <v>6</v>
      </c>
      <c r="G15" s="12"/>
      <c r="H15" s="13">
        <f t="shared" si="0"/>
        <v>24</v>
      </c>
      <c r="I15" s="6"/>
      <c r="O15" s="2" t="str">
        <f t="shared" si="1"/>
        <v>&lt;part&gt;&lt;qty&gt;4&lt;/qty&gt;&lt;length&gt;6&lt;/length&gt;&lt;name&gt;M&lt;/name&gt;&lt;/part&gt;</v>
      </c>
      <c r="P15" s="2"/>
      <c r="Q15" t="s">
        <v>17</v>
      </c>
    </row>
    <row r="16" spans="1:17" x14ac:dyDescent="0.25">
      <c r="A16" s="11" t="str" cm="1">
        <f t="array" ref="A16">INDEX({"A","B","C","D","E","F","G","H","J","K","L","M","N","O","P","Q","R","S","T","U","V","W","X","Y","Z","AA","BB","CC","DD","EE","FF","GG","HH","JJ","KK","LL","OO","PP","QQ","RR","SS","TT","UU","XX"},ROW()-ROW($A$3))</f>
        <v>N</v>
      </c>
      <c r="B16" s="1" t="s">
        <v>33</v>
      </c>
      <c r="C16" s="9">
        <v>4</v>
      </c>
      <c r="D16" s="1" t="s">
        <v>9</v>
      </c>
      <c r="E16" s="1">
        <f>12*1+10</f>
        <v>22</v>
      </c>
      <c r="F16" s="12">
        <f t="shared" si="2"/>
        <v>22</v>
      </c>
      <c r="G16" s="12"/>
      <c r="H16" s="13">
        <f t="shared" si="0"/>
        <v>88</v>
      </c>
      <c r="I16" s="6"/>
      <c r="O16" s="2" t="str">
        <f t="shared" si="1"/>
        <v>&lt;part&gt;&lt;qty&gt;4&lt;/qty&gt;&lt;length&gt;22&lt;/length&gt;&lt;name&gt;103-13&lt;/name&gt;&lt;/part&gt;</v>
      </c>
      <c r="P16" s="2"/>
      <c r="Q16" t="s">
        <v>17</v>
      </c>
    </row>
    <row r="17" spans="1:17" x14ac:dyDescent="0.25">
      <c r="A17" s="11" t="str" cm="1">
        <f t="array" ref="A17">INDEX({"A","B","C","D","E","F","G","H","J","K","L","M","N","O","P","Q","R","S","T","U","V","W","X","Y","Z","AA","BB","CC","DD","EE","FF","GG","HH","JJ","KK","LL","OO","PP","QQ","RR","SS","TT","UU","XX"},ROW()-ROW($A$3))</f>
        <v>O</v>
      </c>
      <c r="B17" s="1" t="s">
        <v>34</v>
      </c>
      <c r="C17" s="9">
        <v>4</v>
      </c>
      <c r="D17" s="1" t="s">
        <v>9</v>
      </c>
      <c r="E17" s="1">
        <f>12*1+4</f>
        <v>16</v>
      </c>
      <c r="F17" s="12">
        <f t="shared" si="2"/>
        <v>16</v>
      </c>
      <c r="G17" s="12"/>
      <c r="H17" s="13">
        <f t="shared" si="0"/>
        <v>64</v>
      </c>
      <c r="I17" s="6"/>
      <c r="O17" s="2" t="str">
        <f t="shared" si="1"/>
        <v>&lt;part&gt;&lt;qty&gt;4&lt;/qty&gt;&lt;length&gt;16&lt;/length&gt;&lt;name&gt;103-14&lt;/name&gt;&lt;/part&gt;</v>
      </c>
      <c r="P17" s="2"/>
      <c r="Q17" t="s">
        <v>17</v>
      </c>
    </row>
    <row r="18" spans="1:17" x14ac:dyDescent="0.25">
      <c r="A18" s="11" t="str" cm="1">
        <f t="array" ref="A18">INDEX({"A","B","C","D","E","F","G","H","J","K","L","M","N","O","P","Q","R","S","T","U","V","W","X","Y","Z","AA","BB","CC","DD","EE","FF","GG","HH","JJ","KK","LL","OO","PP","QQ","RR","SS","TT","UU","XX"},ROW()-ROW($A$3))</f>
        <v>P</v>
      </c>
      <c r="B18" s="1" t="s">
        <v>35</v>
      </c>
      <c r="C18" s="9">
        <v>1</v>
      </c>
      <c r="D18" s="1" t="s">
        <v>9</v>
      </c>
      <c r="E18" s="1">
        <f>12*5+6</f>
        <v>66</v>
      </c>
      <c r="F18" s="12">
        <f t="shared" si="2"/>
        <v>66</v>
      </c>
      <c r="G18" s="12"/>
      <c r="H18" s="13">
        <f t="shared" si="0"/>
        <v>66</v>
      </c>
      <c r="I18" s="6"/>
      <c r="O18" s="2" t="str">
        <f t="shared" si="1"/>
        <v>&lt;part&gt;&lt;qty&gt;1&lt;/qty&gt;&lt;length&gt;66&lt;/length&gt;&lt;name&gt;103-15&lt;/name&gt;&lt;/part&gt;</v>
      </c>
      <c r="P18" s="2"/>
      <c r="Q18" t="s">
        <v>17</v>
      </c>
    </row>
    <row r="19" spans="1:17" x14ac:dyDescent="0.25">
      <c r="A19" s="11" t="str" cm="1">
        <f t="array" ref="A19">INDEX({"A","B","C","D","E","F","G","H","J","K","L","M","N","O","P","Q","R","S","T","U","V","W","X","Y","Z","AA","BB","CC","DD","EE","FF","GG","HH","JJ","KK","LL","OO","PP","QQ","RR","SS","TT","UU","XX"},ROW()-ROW($A$3))</f>
        <v>Q</v>
      </c>
      <c r="B19" s="1" t="s">
        <v>36</v>
      </c>
      <c r="C19" s="9">
        <v>4</v>
      </c>
      <c r="D19" s="1" t="s">
        <v>9</v>
      </c>
      <c r="E19" s="1">
        <f>12*0+10</f>
        <v>10</v>
      </c>
      <c r="F19" s="12">
        <f t="shared" si="2"/>
        <v>10</v>
      </c>
      <c r="G19" s="12"/>
      <c r="H19" s="13">
        <f t="shared" si="0"/>
        <v>40</v>
      </c>
      <c r="I19" s="6"/>
      <c r="O19" s="2" t="str">
        <f t="shared" si="1"/>
        <v>&lt;part&gt;&lt;qty&gt;4&lt;/qty&gt;&lt;length&gt;10&lt;/length&gt;&lt;name&gt;Q&lt;/name&gt;&lt;/part&gt;</v>
      </c>
      <c r="P19" s="2"/>
      <c r="Q19" t="s">
        <v>17</v>
      </c>
    </row>
    <row r="20" spans="1:17" x14ac:dyDescent="0.25">
      <c r="A20" s="11" t="str" cm="1">
        <f t="array" ref="A20">INDEX({"A","B","C","D","E","F","G","H","J","K","L","M","N","O","P","Q","R","S","T","U","V","W","X","Y","Z","AA","BB","CC","DD","EE","FF","GG","HH","JJ","KK","LL","OO","PP","QQ","RR","SS","TT","UU","XX"},ROW()-ROW($A$3))</f>
        <v>R</v>
      </c>
      <c r="B20" s="1" t="s">
        <v>7</v>
      </c>
      <c r="C20" s="9">
        <v>2</v>
      </c>
      <c r="D20" s="1" t="s">
        <v>9</v>
      </c>
      <c r="E20" s="1">
        <f>12*1+6</f>
        <v>18</v>
      </c>
      <c r="F20" s="12">
        <f t="shared" si="2"/>
        <v>18</v>
      </c>
      <c r="G20" s="12"/>
      <c r="H20" s="13">
        <f t="shared" si="0"/>
        <v>36</v>
      </c>
      <c r="I20" s="6"/>
      <c r="O20" s="2" t="str">
        <f t="shared" si="1"/>
        <v>&lt;part&gt;&lt;qty&gt;2&lt;/qty&gt;&lt;length&gt;18&lt;/length&gt;&lt;name&gt;503-17&lt;/name&gt;&lt;/part&gt;</v>
      </c>
      <c r="P20" s="2"/>
      <c r="Q20" t="s">
        <v>17</v>
      </c>
    </row>
    <row r="21" spans="1:17" x14ac:dyDescent="0.25">
      <c r="A21" s="11" t="str" cm="1">
        <f t="array" ref="A21">INDEX({"A","B","C","D","E","F","G","H","J","K","L","M","N","O","P","Q","R","S","T","U","V","W","X","Y","Z","AA","BB","CC","DD","EE","FF","GG","HH","JJ","KK","LL","OO","PP","QQ","RR","SS","TT","UU","XX"},ROW()-ROW($A$3))</f>
        <v>S</v>
      </c>
      <c r="B21" s="1" t="s">
        <v>8</v>
      </c>
      <c r="C21" s="9">
        <v>2</v>
      </c>
      <c r="D21" s="1" t="s">
        <v>9</v>
      </c>
      <c r="E21" s="1">
        <f>9</f>
        <v>9</v>
      </c>
      <c r="F21" s="12">
        <f t="shared" si="2"/>
        <v>9</v>
      </c>
      <c r="G21" s="12"/>
      <c r="H21" s="13">
        <f t="shared" si="0"/>
        <v>18</v>
      </c>
      <c r="I21" s="6"/>
      <c r="O21" s="2" t="str">
        <f t="shared" si="1"/>
        <v>&lt;part&gt;&lt;qty&gt;2&lt;/qty&gt;&lt;length&gt;9&lt;/length&gt;&lt;name&gt;S&lt;/name&gt;&lt;/part&gt;</v>
      </c>
      <c r="P21" s="2"/>
      <c r="Q21" t="s">
        <v>17</v>
      </c>
    </row>
    <row r="22" spans="1:17" x14ac:dyDescent="0.25">
      <c r="A22" s="11" t="str" cm="1">
        <f t="array" ref="A22">INDEX({"A","B","C","D","E","F","G","H","J","K","L","M","N","O","P","Q","R","S","T","U","V","W","X","Y","Z","AA","BB","CC","DD","EE","FF","GG","HH","JJ","KK","LL","OO","PP","QQ","RR","SS","TT","UU","XX"},ROW()-ROW($A$3))</f>
        <v>T</v>
      </c>
      <c r="B22" s="1" t="s">
        <v>37</v>
      </c>
      <c r="C22" s="9">
        <v>1</v>
      </c>
      <c r="D22" s="1" t="s">
        <v>9</v>
      </c>
      <c r="E22" s="1">
        <v>38.29</v>
      </c>
      <c r="F22" s="12">
        <f t="shared" si="2"/>
        <v>38.29</v>
      </c>
      <c r="G22" s="12"/>
      <c r="H22" s="13">
        <f t="shared" si="0"/>
        <v>38.29</v>
      </c>
      <c r="I22" s="6"/>
      <c r="O22" s="2" t="str">
        <f t="shared" si="1"/>
        <v>&lt;part&gt;&lt;qty&gt;1&lt;/qty&gt;&lt;length&gt;38.29&lt;/length&gt;&lt;name&gt;103-19&lt;/name&gt;&lt;/part&gt;</v>
      </c>
      <c r="P22" s="2"/>
      <c r="Q22" t="s">
        <v>17</v>
      </c>
    </row>
    <row r="23" spans="1:17" x14ac:dyDescent="0.25">
      <c r="A23" s="11" t="str" cm="1">
        <f t="array" ref="A23">INDEX({"A","B","C","D","E","F","G","H","J","K","L","M","N","O","P","Q","R","S","T","U","V","W","X","Y","Z","AA","BB","CC","DD","EE","FF","GG","HH","JJ","KK","LL","OO","PP","QQ","RR","SS","TT","UU","XX"},ROW()-ROW($A$3))</f>
        <v>U</v>
      </c>
      <c r="B23" s="1" t="s">
        <v>38</v>
      </c>
      <c r="C23" s="9">
        <v>1</v>
      </c>
      <c r="D23" s="1" t="s">
        <v>9</v>
      </c>
      <c r="E23" s="1">
        <v>34.29</v>
      </c>
      <c r="F23" s="12">
        <f t="shared" si="2"/>
        <v>34.29</v>
      </c>
      <c r="G23" s="12"/>
      <c r="H23" s="13">
        <f t="shared" si="0"/>
        <v>34.29</v>
      </c>
      <c r="I23" s="6"/>
      <c r="O23" s="2" t="str">
        <f t="shared" si="1"/>
        <v>&lt;part&gt;&lt;qty&gt;1&lt;/qty&gt;&lt;length&gt;34.29&lt;/length&gt;&lt;name&gt;103-20&lt;/name&gt;&lt;/part&gt;</v>
      </c>
      <c r="P23" s="2"/>
      <c r="Q23" t="s">
        <v>17</v>
      </c>
    </row>
    <row r="24" spans="1:17" x14ac:dyDescent="0.25">
      <c r="A24" s="11" t="str" cm="1">
        <f t="array" ref="A24">INDEX({"A","B","C","D","E","F","G","H","J","K","L","M","N","O","P","Q","R","S","T","U","V","W","X","Y","Z","AA","BB","CC","DD","EE","FF","GG","HH","JJ","KK","LL","OO","PP","QQ","RR","SS","TT","UU","XX"},ROW()-ROW($A$3))</f>
        <v>V</v>
      </c>
      <c r="B24" s="1" t="s">
        <v>39</v>
      </c>
      <c r="C24" s="9">
        <v>1</v>
      </c>
      <c r="D24" s="1" t="s">
        <v>9</v>
      </c>
      <c r="E24" s="1">
        <v>9</v>
      </c>
      <c r="F24" s="12">
        <f t="shared" si="2"/>
        <v>9</v>
      </c>
      <c r="G24" s="12"/>
      <c r="H24" s="13">
        <f t="shared" si="0"/>
        <v>9</v>
      </c>
      <c r="I24" s="6"/>
      <c r="O24" s="2" t="str">
        <f t="shared" si="1"/>
        <v>&lt;part&gt;&lt;qty&gt;1&lt;/qty&gt;&lt;length&gt;9&lt;/length&gt;&lt;name&gt;V&lt;/name&gt;&lt;/part&gt;</v>
      </c>
      <c r="P24" s="2"/>
      <c r="Q24" t="s">
        <v>17</v>
      </c>
    </row>
    <row r="25" spans="1:17" x14ac:dyDescent="0.25">
      <c r="A25" s="11" t="str" cm="1">
        <f t="array" ref="A25">INDEX({"A","B","C","D","E","F","G","H","J","K","L","M","N","O","P","Q","R","S","T","U","V","W","X","Y","Z","AA","BB","CC","DD","EE","FF","GG","HH","JJ","KK","LL","OO","PP","QQ","RR","SS","TT","UU","XX"},ROW()-ROW($A$3))</f>
        <v>W</v>
      </c>
      <c r="B25" s="1" t="s">
        <v>40</v>
      </c>
      <c r="C25" s="9">
        <v>1</v>
      </c>
      <c r="D25" s="1" t="s">
        <v>9</v>
      </c>
      <c r="E25" s="1">
        <v>46.106999999999999</v>
      </c>
      <c r="F25" s="12">
        <f t="shared" si="2"/>
        <v>46.106999999999999</v>
      </c>
      <c r="G25" s="12"/>
      <c r="H25" s="13">
        <f t="shared" si="0"/>
        <v>46.106999999999999</v>
      </c>
      <c r="I25" s="6"/>
      <c r="O25" s="2" t="str">
        <f t="shared" si="1"/>
        <v>&lt;part&gt;&lt;qty&gt;1&lt;/qty&gt;&lt;length&gt;46.107&lt;/length&gt;&lt;name&gt;103-22&lt;/name&gt;&lt;/part&gt;</v>
      </c>
      <c r="P25" s="2"/>
      <c r="Q25" t="s">
        <v>17</v>
      </c>
    </row>
    <row r="26" spans="1:17" x14ac:dyDescent="0.25">
      <c r="A26" s="11" t="str" cm="1">
        <f t="array" ref="A26">INDEX({"A","B","C","D","E","F","G","H","J","K","L","M","N","O","P","Q","R","S","T","U","V","W","X","Y","Z","AA","BB","CC","DD","EE","FF","GG","HH","JJ","KK","LL","OO","PP","QQ","RR","SS","TT","UU","XX"},ROW()-ROW($A$3))</f>
        <v>X</v>
      </c>
      <c r="B26" s="1"/>
      <c r="C26" s="9"/>
      <c r="D26" s="1"/>
      <c r="E26" s="1"/>
      <c r="F26" s="12">
        <f t="shared" si="2"/>
        <v>0</v>
      </c>
      <c r="G26" s="12"/>
      <c r="H26" s="13">
        <f t="shared" si="0"/>
        <v>0</v>
      </c>
      <c r="I26" s="6"/>
      <c r="O26" s="2" t="str">
        <f t="shared" si="1"/>
        <v/>
      </c>
      <c r="P26" s="2"/>
      <c r="Q26" t="s">
        <v>17</v>
      </c>
    </row>
    <row r="27" spans="1:17" x14ac:dyDescent="0.25">
      <c r="A27" s="11" t="str" cm="1">
        <f t="array" ref="A27">INDEX({"A","B","C","D","E","F","G","H","J","K","L","M","N","O","P","Q","R","S","T","U","V","W","X","Y","Z","AA","BB","CC","DD","EE","FF","GG","HH","JJ","KK","LL","OO","PP","QQ","RR","SS","TT","UU","XX"},ROW()-ROW($A$3))</f>
        <v>Y</v>
      </c>
      <c r="B27" s="1"/>
      <c r="C27" s="9"/>
      <c r="D27" s="1"/>
      <c r="E27" s="1"/>
      <c r="F27" s="12">
        <f t="shared" si="2"/>
        <v>0</v>
      </c>
      <c r="G27" s="12"/>
      <c r="H27" s="13">
        <f t="shared" si="0"/>
        <v>0</v>
      </c>
      <c r="I27" s="6"/>
      <c r="O27" s="2" t="str">
        <f t="shared" si="1"/>
        <v/>
      </c>
      <c r="P27" s="2"/>
      <c r="Q27" t="s">
        <v>17</v>
      </c>
    </row>
    <row r="28" spans="1:17" x14ac:dyDescent="0.25">
      <c r="A28" s="11" t="str" cm="1">
        <f t="array" ref="A28">INDEX({"A","B","C","D","E","F","G","H","J","K","L","M","N","O","P","Q","R","S","T","U","V","W","X","Y","Z","AA","BB","CC","DD","EE","FF","GG","HH","JJ","KK","LL","OO","PP","QQ","RR","SS","TT","UU","XX"},ROW()-ROW($A$3))</f>
        <v>Z</v>
      </c>
      <c r="B28" s="1"/>
      <c r="C28" s="9"/>
      <c r="D28" s="1"/>
      <c r="E28" s="1"/>
      <c r="F28" s="12">
        <f t="shared" si="2"/>
        <v>0</v>
      </c>
      <c r="G28" s="12"/>
      <c r="H28" s="13">
        <f t="shared" si="0"/>
        <v>0</v>
      </c>
      <c r="I28" s="6"/>
      <c r="O28" s="2" t="str">
        <f t="shared" si="1"/>
        <v/>
      </c>
      <c r="P28" s="2"/>
      <c r="Q28" t="s">
        <v>17</v>
      </c>
    </row>
    <row r="29" spans="1:17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7" x14ac:dyDescent="0.25">
      <c r="B30" t="str">
        <f>"To increase the number of lines, insert rows between row " &amp; ROW($A$3) &amp; " and " &amp; ROW($A$29) &amp; ", then copy a full row (including formulas) onto the new lines."</f>
        <v>To increase the number of lines, insert rows between row 3 and 29, then copy a full row (including formulas) onto the new lines.</v>
      </c>
    </row>
    <row r="31" spans="1:17" x14ac:dyDescent="0.25">
      <c r="C31" t="s">
        <v>43</v>
      </c>
    </row>
    <row r="32" spans="1:17" x14ac:dyDescent="0.25">
      <c r="B32" s="10"/>
      <c r="C32" t="s">
        <v>44</v>
      </c>
    </row>
    <row r="34" spans="2:2" x14ac:dyDescent="0.25">
      <c r="B34" s="10" t="s">
        <v>18</v>
      </c>
    </row>
    <row r="42" spans="2:2" x14ac:dyDescent="0.25">
      <c r="B42" s="10"/>
    </row>
  </sheetData>
  <mergeCells count="2">
    <mergeCell ref="J3:L3"/>
    <mergeCell ref="B1:F1"/>
  </mergeCells>
  <hyperlinks>
    <hyperlink ref="B34" r:id="rId1" xr:uid="{C37B9E13-A5F6-4A1C-AB73-A01D7E1BD2A5}"/>
  </hyperlinks>
  <pageMargins left="0.25" right="0.25" top="0.75" bottom="0.75" header="0.3" footer="0.3"/>
  <pageSetup scale="45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nestingSettings</vt:lpstr>
      <vt:lpstr>PartData</vt:lpstr>
      <vt:lpstr>Project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Metzger</dc:creator>
  <cp:lastModifiedBy>Chris Metzger</cp:lastModifiedBy>
  <cp:lastPrinted>2022-11-14T16:57:37Z</cp:lastPrinted>
  <dcterms:created xsi:type="dcterms:W3CDTF">2015-06-05T18:17:20Z</dcterms:created>
  <dcterms:modified xsi:type="dcterms:W3CDTF">2022-11-14T18:28:09Z</dcterms:modified>
</cp:coreProperties>
</file>